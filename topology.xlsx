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ldotti/Documents/GitHub/ladc26/"/>
    </mc:Choice>
  </mc:AlternateContent>
  <xr:revisionPtr revIDLastSave="0" documentId="8_{9FAEDE99-E2C4-644C-B49D-009ECC7513CB}" xr6:coauthVersionLast="45" xr6:coauthVersionMax="45" xr10:uidLastSave="{00000000-0000-0000-0000-000000000000}"/>
  <bookViews>
    <workbookView xWindow="680" yWindow="760" windowWidth="28040" windowHeight="17140" xr2:uid="{D4620402-8590-CE46-AE54-A7860FCBEA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7" i="1" l="1"/>
  <c r="S7" i="1" a="1"/>
  <c r="S7" i="1"/>
  <c r="T7" i="1"/>
  <c r="R8" i="1"/>
  <c r="S8" i="1" a="1"/>
  <c r="S8" i="1"/>
  <c r="T8" i="1"/>
  <c r="R9" i="1"/>
  <c r="S9" i="1" a="1"/>
  <c r="S9" i="1"/>
  <c r="T9" i="1"/>
  <c r="R10" i="1"/>
  <c r="S10" i="1" a="1"/>
  <c r="S10" i="1"/>
  <c r="T10" i="1"/>
  <c r="R11" i="1"/>
  <c r="S11" i="1" a="1"/>
  <c r="S11" i="1"/>
  <c r="T11" i="1"/>
  <c r="R12" i="1"/>
  <c r="S12" i="1" a="1"/>
  <c r="S12" i="1"/>
  <c r="T12" i="1"/>
  <c r="R13" i="1"/>
  <c r="S13" i="1" a="1"/>
  <c r="S13" i="1" s="1"/>
  <c r="T13" i="1"/>
  <c r="R14" i="1"/>
  <c r="S14" i="1" a="1"/>
  <c r="S14" i="1" s="1"/>
  <c r="T14" i="1"/>
  <c r="R15" i="1"/>
  <c r="S15" i="1" a="1"/>
  <c r="S15" i="1" s="1"/>
  <c r="T15" i="1"/>
  <c r="R16" i="1"/>
  <c r="S16" i="1" a="1"/>
  <c r="S16" i="1" s="1"/>
  <c r="T16" i="1"/>
  <c r="R17" i="1"/>
  <c r="S17" i="1" a="1"/>
  <c r="S17" i="1" s="1"/>
  <c r="T17" i="1"/>
  <c r="T6" i="1"/>
  <c r="S6" i="1" a="1"/>
  <c r="S6" i="1" s="1"/>
  <c r="R6" i="1"/>
  <c r="R5" i="1"/>
  <c r="S5" i="1" a="1"/>
  <c r="S5" i="1" s="1"/>
  <c r="T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<sst xmlns="http://schemas.openxmlformats.org/spreadsheetml/2006/main" count="54" uniqueCount="17">
  <si>
    <t>From/to</t>
  </si>
  <si>
    <t>N_Virginia</t>
  </si>
  <si>
    <t>Canada</t>
  </si>
  <si>
    <t>N_California</t>
  </si>
  <si>
    <t>London</t>
  </si>
  <si>
    <t>Oregon</t>
  </si>
  <si>
    <t>Ireland</t>
  </si>
  <si>
    <t>Frankfurt</t>
  </si>
  <si>
    <t>S_Paulo</t>
  </si>
  <si>
    <t>Tokyo</t>
  </si>
  <si>
    <t>Mumbai</t>
  </si>
  <si>
    <t>Sydney</t>
  </si>
  <si>
    <t>Seoul</t>
  </si>
  <si>
    <t>Singapore</t>
  </si>
  <si>
    <t>10,5,7,2,0,6,1,12,8,3,9,4,11</t>
  </si>
  <si>
    <t>N California</t>
  </si>
  <si>
    <t>N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</si>
</sst>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"/>
  </numFmts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2" fontId="0" fillId="0" borderId="0" xfId="0" applyNumberFormat="1"/>
    <xf numFmtId="0" fontId="2" fillId="2" borderId="0" xfId="0" applyFont="1" applyFill="1"/>
    <xf numFmtId="0" fontId="1" fillId="3" borderId="0" xfId="0" applyFont="1" applyFill="1"/>
    <xf numFmtId="0" fontId="2" fillId="0" borderId="0" xfId="0" applyFont="1" applyFill="1"/>
    <xf numFmtId="0" fontId="1" fillId="0" borderId="0" xfId="0" applyFont="1" applyFill="1"/>
    <xf numFmtId="175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78D0-E8D1-6D47-AC6B-85851FEFFBD0}">
  <dimension ref="B4:T51"/>
  <sheetViews>
    <sheetView tabSelected="1" topLeftCell="A2" zoomScale="82" workbookViewId="0">
      <selection activeCell="A40" sqref="A40:XFD40"/>
    </sheetView>
  </sheetViews>
  <sheetFormatPr baseColWidth="10" defaultRowHeight="16" x14ac:dyDescent="0.2"/>
  <cols>
    <col min="4" max="4" width="13.6640625" bestFit="1" customWidth="1"/>
    <col min="5" max="5" width="12.6640625" bestFit="1" customWidth="1"/>
    <col min="6" max="6" width="13.6640625" bestFit="1" customWidth="1"/>
    <col min="18" max="18" width="12.6640625" bestFit="1" customWidth="1"/>
    <col min="19" max="19" width="11.6640625" bestFit="1" customWidth="1"/>
  </cols>
  <sheetData>
    <row r="4" spans="2:20" x14ac:dyDescent="0.2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11</v>
      </c>
      <c r="O4" s="1" t="s">
        <v>12</v>
      </c>
      <c r="P4" s="1" t="s">
        <v>13</v>
      </c>
    </row>
    <row r="5" spans="2:20" x14ac:dyDescent="0.2">
      <c r="B5">
        <v>11</v>
      </c>
      <c r="C5" s="1" t="s">
        <v>1</v>
      </c>
      <c r="D5" s="2">
        <v>0</v>
      </c>
      <c r="E5" s="2">
        <v>7</v>
      </c>
      <c r="F5" s="2">
        <v>30</v>
      </c>
      <c r="G5" s="2">
        <v>38</v>
      </c>
      <c r="H5" s="5">
        <v>39</v>
      </c>
      <c r="I5" s="2">
        <v>33</v>
      </c>
      <c r="J5" s="2">
        <v>44</v>
      </c>
      <c r="K5" s="2">
        <v>58</v>
      </c>
      <c r="L5" s="2">
        <v>73</v>
      </c>
      <c r="M5" s="2">
        <v>93</v>
      </c>
      <c r="N5" s="2">
        <v>98</v>
      </c>
      <c r="O5" s="2">
        <v>87</v>
      </c>
      <c r="P5" s="2">
        <v>105</v>
      </c>
      <c r="R5" s="3">
        <f>AVERAGE(D5:P5)</f>
        <v>54.230769230769234</v>
      </c>
      <c r="S5" s="3" cm="1">
        <f t="array" ref="S5">AVERAGE(SMALL(D5:P5, _xlfn.SEQUENCE(9)))</f>
        <v>35.777777777777779</v>
      </c>
      <c r="T5">
        <f>SMALL(D5:P5, 9)</f>
        <v>73</v>
      </c>
    </row>
    <row r="6" spans="2:20" x14ac:dyDescent="0.2">
      <c r="B6">
        <v>2</v>
      </c>
      <c r="C6" s="1" t="s">
        <v>2</v>
      </c>
      <c r="D6" s="2">
        <v>7</v>
      </c>
      <c r="E6" s="2">
        <v>0</v>
      </c>
      <c r="F6" s="5">
        <v>38</v>
      </c>
      <c r="G6" s="2">
        <v>39</v>
      </c>
      <c r="H6" s="2">
        <v>29</v>
      </c>
      <c r="I6" s="2">
        <v>35</v>
      </c>
      <c r="J6" s="2">
        <v>46</v>
      </c>
      <c r="K6" s="2">
        <v>63</v>
      </c>
      <c r="L6" s="2">
        <v>70</v>
      </c>
      <c r="M6" s="2">
        <v>94</v>
      </c>
      <c r="N6" s="2">
        <v>97</v>
      </c>
      <c r="O6" s="2">
        <v>85</v>
      </c>
      <c r="P6" s="2">
        <v>103</v>
      </c>
      <c r="R6" s="3">
        <f>AVERAGE(D6:P6)</f>
        <v>54.307692307692307</v>
      </c>
      <c r="S6" s="3" cm="1">
        <f t="array" ref="S6">AVERAGE(SMALL(D6:P6, _xlfn.SEQUENCE(9)))</f>
        <v>36.333333333333336</v>
      </c>
      <c r="T6">
        <f>SMALL(D6:P6, 9)</f>
        <v>70</v>
      </c>
    </row>
    <row r="7" spans="2:20" x14ac:dyDescent="0.2">
      <c r="B7">
        <v>3</v>
      </c>
      <c r="C7" s="1" t="s">
        <v>3</v>
      </c>
      <c r="D7" s="2">
        <v>30</v>
      </c>
      <c r="E7" s="2">
        <v>39</v>
      </c>
      <c r="F7" s="2">
        <v>0</v>
      </c>
      <c r="G7" s="5">
        <v>68</v>
      </c>
      <c r="H7" s="2">
        <v>10</v>
      </c>
      <c r="I7" s="2">
        <v>68</v>
      </c>
      <c r="J7" s="2">
        <v>75</v>
      </c>
      <c r="K7" s="2">
        <v>88</v>
      </c>
      <c r="L7" s="2">
        <v>54</v>
      </c>
      <c r="M7" s="2">
        <v>116</v>
      </c>
      <c r="N7" s="2">
        <v>69</v>
      </c>
      <c r="O7" s="2">
        <v>67</v>
      </c>
      <c r="P7" s="2">
        <v>86</v>
      </c>
      <c r="R7" s="3">
        <f t="shared" ref="R7:R17" si="0">AVERAGE(D7:P7)</f>
        <v>59.230769230769234</v>
      </c>
      <c r="S7" s="3" cm="1">
        <f t="array" ref="S7">AVERAGE(SMALL(D7:P7, _xlfn.SEQUENCE(9)))</f>
        <v>45</v>
      </c>
      <c r="T7">
        <f t="shared" ref="T7:T17" si="1">SMALL(D7:P7, 9)</f>
        <v>69</v>
      </c>
    </row>
    <row r="8" spans="2:20" x14ac:dyDescent="0.2">
      <c r="B8">
        <v>4</v>
      </c>
      <c r="C8" s="1" t="s">
        <v>4</v>
      </c>
      <c r="D8" s="2">
        <v>38</v>
      </c>
      <c r="E8" s="2">
        <v>39</v>
      </c>
      <c r="F8" s="2">
        <v>68</v>
      </c>
      <c r="G8" s="2">
        <v>0</v>
      </c>
      <c r="H8" s="2">
        <v>63</v>
      </c>
      <c r="I8" s="2">
        <v>5</v>
      </c>
      <c r="J8" s="2">
        <v>8</v>
      </c>
      <c r="K8" s="5">
        <v>94</v>
      </c>
      <c r="L8" s="2">
        <v>104</v>
      </c>
      <c r="M8" s="2">
        <v>56</v>
      </c>
      <c r="N8" s="2">
        <v>131</v>
      </c>
      <c r="O8" s="2">
        <v>118</v>
      </c>
      <c r="P8" s="2">
        <v>82</v>
      </c>
      <c r="R8" s="3">
        <f t="shared" si="0"/>
        <v>62</v>
      </c>
      <c r="S8" s="3" cm="1">
        <f t="array" ref="S8">AVERAGE(SMALL(D8:P8, _xlfn.SEQUENCE(9)))</f>
        <v>39.888888888888886</v>
      </c>
      <c r="T8">
        <f t="shared" si="1"/>
        <v>82</v>
      </c>
    </row>
    <row r="9" spans="2:20" x14ac:dyDescent="0.2">
      <c r="B9">
        <v>12</v>
      </c>
      <c r="C9" s="1" t="s">
        <v>5</v>
      </c>
      <c r="D9" s="2">
        <v>39</v>
      </c>
      <c r="E9" s="2">
        <v>29</v>
      </c>
      <c r="F9" s="2">
        <v>10</v>
      </c>
      <c r="G9" s="2">
        <v>63</v>
      </c>
      <c r="H9" s="2">
        <v>0</v>
      </c>
      <c r="I9" s="2">
        <v>59</v>
      </c>
      <c r="J9" s="2">
        <v>68</v>
      </c>
      <c r="K9" s="2">
        <v>88</v>
      </c>
      <c r="L9" s="2">
        <v>49</v>
      </c>
      <c r="M9" s="2">
        <v>109</v>
      </c>
      <c r="N9" s="2">
        <v>69</v>
      </c>
      <c r="O9" s="2">
        <v>63</v>
      </c>
      <c r="P9" s="2">
        <v>84</v>
      </c>
      <c r="R9" s="3">
        <f t="shared" si="0"/>
        <v>56.153846153846153</v>
      </c>
      <c r="S9" s="3" cm="1">
        <f t="array" ref="S9">AVERAGE(SMALL(D9:P9, _xlfn.SEQUENCE(9)))</f>
        <v>42.222222222222221</v>
      </c>
      <c r="T9">
        <f t="shared" si="1"/>
        <v>68</v>
      </c>
    </row>
    <row r="10" spans="2:20" x14ac:dyDescent="0.2">
      <c r="B10">
        <v>1</v>
      </c>
      <c r="C10" s="1" t="s">
        <v>6</v>
      </c>
      <c r="D10" s="2">
        <v>33</v>
      </c>
      <c r="E10" s="5">
        <v>35</v>
      </c>
      <c r="F10" s="2">
        <v>68</v>
      </c>
      <c r="G10" s="2">
        <v>5</v>
      </c>
      <c r="H10" s="2">
        <v>59</v>
      </c>
      <c r="I10" s="2">
        <v>0</v>
      </c>
      <c r="J10" s="2">
        <v>13</v>
      </c>
      <c r="K10" s="2">
        <v>88</v>
      </c>
      <c r="L10" s="2">
        <v>100</v>
      </c>
      <c r="M10" s="2">
        <v>61</v>
      </c>
      <c r="N10" s="2">
        <v>127</v>
      </c>
      <c r="O10" s="2">
        <v>114</v>
      </c>
      <c r="P10" s="2">
        <v>90</v>
      </c>
      <c r="R10" s="3">
        <f t="shared" si="0"/>
        <v>61</v>
      </c>
      <c r="S10" s="3" cm="1">
        <f t="array" ref="S10">AVERAGE(SMALL(D10:P10, _xlfn.SEQUENCE(9)))</f>
        <v>40.222222222222221</v>
      </c>
      <c r="T10">
        <f t="shared" si="1"/>
        <v>88</v>
      </c>
    </row>
    <row r="11" spans="2:20" x14ac:dyDescent="0.2">
      <c r="B11">
        <v>8</v>
      </c>
      <c r="C11" s="1" t="s">
        <v>7</v>
      </c>
      <c r="D11" s="2">
        <v>44</v>
      </c>
      <c r="E11" s="2">
        <v>46</v>
      </c>
      <c r="F11" s="2">
        <v>75</v>
      </c>
      <c r="G11" s="2">
        <v>8</v>
      </c>
      <c r="H11" s="2">
        <v>68</v>
      </c>
      <c r="I11" s="2">
        <v>13</v>
      </c>
      <c r="J11" s="2">
        <v>0</v>
      </c>
      <c r="K11" s="2">
        <v>101</v>
      </c>
      <c r="L11" s="2">
        <v>111</v>
      </c>
      <c r="M11" s="5">
        <v>60</v>
      </c>
      <c r="N11" s="2">
        <v>143</v>
      </c>
      <c r="O11" s="2">
        <v>109</v>
      </c>
      <c r="P11" s="2">
        <v>77</v>
      </c>
      <c r="R11" s="3">
        <f t="shared" si="0"/>
        <v>65.769230769230774</v>
      </c>
      <c r="S11" s="3" cm="1">
        <f t="array" ref="S11">AVERAGE(SMALL(D11:P11, _xlfn.SEQUENCE(9)))</f>
        <v>43.444444444444443</v>
      </c>
      <c r="T11">
        <f t="shared" si="1"/>
        <v>77</v>
      </c>
    </row>
    <row r="12" spans="2:20" x14ac:dyDescent="0.2">
      <c r="B12">
        <v>10</v>
      </c>
      <c r="C12" s="4" t="s">
        <v>8</v>
      </c>
      <c r="D12" s="5">
        <v>58</v>
      </c>
      <c r="E12" s="2">
        <v>63</v>
      </c>
      <c r="F12" s="2">
        <v>88</v>
      </c>
      <c r="G12" s="2">
        <v>94</v>
      </c>
      <c r="H12" s="2">
        <v>88</v>
      </c>
      <c r="I12" s="2">
        <v>89</v>
      </c>
      <c r="J12" s="2">
        <v>101</v>
      </c>
      <c r="K12" s="2">
        <v>0</v>
      </c>
      <c r="L12" s="2">
        <v>128</v>
      </c>
      <c r="M12" s="2">
        <v>151</v>
      </c>
      <c r="N12" s="2">
        <v>155</v>
      </c>
      <c r="O12" s="2">
        <v>142</v>
      </c>
      <c r="P12" s="2">
        <v>161</v>
      </c>
      <c r="R12" s="3">
        <f t="shared" si="0"/>
        <v>101.38461538461539</v>
      </c>
      <c r="S12" s="3" cm="1">
        <f t="array" ref="S12">AVERAGE(SMALL(D12:P12, _xlfn.SEQUENCE(9)))</f>
        <v>78.777777777777771</v>
      </c>
      <c r="T12">
        <f t="shared" si="1"/>
        <v>128</v>
      </c>
    </row>
    <row r="13" spans="2:20" x14ac:dyDescent="0.2">
      <c r="B13">
        <v>5</v>
      </c>
      <c r="C13" s="1" t="s">
        <v>9</v>
      </c>
      <c r="D13" s="2">
        <v>73</v>
      </c>
      <c r="E13" s="2">
        <v>70</v>
      </c>
      <c r="F13" s="2">
        <v>54</v>
      </c>
      <c r="G13" s="2">
        <v>104</v>
      </c>
      <c r="H13" s="2">
        <v>49</v>
      </c>
      <c r="I13" s="2">
        <v>100</v>
      </c>
      <c r="J13" s="2">
        <v>111</v>
      </c>
      <c r="K13" s="2">
        <v>128</v>
      </c>
      <c r="L13" s="2">
        <v>0</v>
      </c>
      <c r="M13" s="2">
        <v>60</v>
      </c>
      <c r="N13" s="5">
        <v>57</v>
      </c>
      <c r="O13" s="2">
        <v>16</v>
      </c>
      <c r="P13" s="2">
        <v>39</v>
      </c>
      <c r="R13" s="3">
        <f t="shared" si="0"/>
        <v>66.230769230769226</v>
      </c>
      <c r="S13" s="3" cm="1">
        <f t="array" ref="S13">AVERAGE(SMALL(D13:P13, _xlfn.SEQUENCE(9)))</f>
        <v>46.444444444444443</v>
      </c>
      <c r="T13">
        <f t="shared" si="1"/>
        <v>73</v>
      </c>
    </row>
    <row r="14" spans="2:20" x14ac:dyDescent="0.2">
      <c r="B14">
        <v>9</v>
      </c>
      <c r="C14" s="1" t="s">
        <v>10</v>
      </c>
      <c r="D14" s="2">
        <v>93</v>
      </c>
      <c r="E14" s="2">
        <v>94</v>
      </c>
      <c r="F14" s="2">
        <v>116</v>
      </c>
      <c r="G14" s="2">
        <v>56</v>
      </c>
      <c r="H14" s="2">
        <v>109</v>
      </c>
      <c r="I14" s="2">
        <v>61</v>
      </c>
      <c r="J14" s="2">
        <v>60</v>
      </c>
      <c r="K14" s="5">
        <v>151</v>
      </c>
      <c r="L14" s="2">
        <v>60</v>
      </c>
      <c r="M14" s="2">
        <v>0</v>
      </c>
      <c r="N14" s="2">
        <v>76</v>
      </c>
      <c r="O14" s="2">
        <v>57</v>
      </c>
      <c r="P14" s="2">
        <v>27</v>
      </c>
      <c r="R14" s="3">
        <f t="shared" si="0"/>
        <v>73.84615384615384</v>
      </c>
      <c r="S14" s="3" cm="1">
        <f t="array" ref="S14">AVERAGE(SMALL(D14:P14, _xlfn.SEQUENCE(9)))</f>
        <v>54.444444444444443</v>
      </c>
      <c r="T14">
        <f t="shared" si="1"/>
        <v>93</v>
      </c>
    </row>
    <row r="15" spans="2:20" x14ac:dyDescent="0.2">
      <c r="B15">
        <v>6</v>
      </c>
      <c r="C15" s="1" t="s">
        <v>11</v>
      </c>
      <c r="D15" s="2">
        <v>98</v>
      </c>
      <c r="E15" s="2">
        <v>97</v>
      </c>
      <c r="F15" s="2">
        <v>69</v>
      </c>
      <c r="G15" s="2">
        <v>131</v>
      </c>
      <c r="H15" s="2">
        <v>69</v>
      </c>
      <c r="I15" s="2">
        <v>127</v>
      </c>
      <c r="J15" s="2">
        <v>143</v>
      </c>
      <c r="K15" s="2">
        <v>155</v>
      </c>
      <c r="L15" s="2">
        <v>57</v>
      </c>
      <c r="M15" s="2">
        <v>76</v>
      </c>
      <c r="N15" s="2">
        <v>0</v>
      </c>
      <c r="O15" s="2">
        <v>69</v>
      </c>
      <c r="P15" s="5">
        <v>45</v>
      </c>
      <c r="R15" s="3">
        <f t="shared" si="0"/>
        <v>87.384615384615387</v>
      </c>
      <c r="S15" s="3" cm="1">
        <f t="array" ref="S15">AVERAGE(SMALL(D15:P15, _xlfn.SEQUENCE(9)))</f>
        <v>64.444444444444443</v>
      </c>
      <c r="T15">
        <f t="shared" si="1"/>
        <v>98</v>
      </c>
    </row>
    <row r="16" spans="2:20" x14ac:dyDescent="0.2">
      <c r="B16">
        <v>0</v>
      </c>
      <c r="C16" s="1" t="s">
        <v>12</v>
      </c>
      <c r="D16" s="2">
        <v>87</v>
      </c>
      <c r="E16" s="2">
        <v>84</v>
      </c>
      <c r="F16" s="2">
        <v>67</v>
      </c>
      <c r="G16" s="2">
        <v>118</v>
      </c>
      <c r="H16" s="2">
        <v>63</v>
      </c>
      <c r="I16" s="5">
        <v>114</v>
      </c>
      <c r="J16" s="2">
        <v>109</v>
      </c>
      <c r="K16" s="2">
        <v>142</v>
      </c>
      <c r="L16" s="2">
        <v>17</v>
      </c>
      <c r="M16" s="2">
        <v>57</v>
      </c>
      <c r="N16" s="2">
        <v>69</v>
      </c>
      <c r="O16" s="2">
        <v>0</v>
      </c>
      <c r="P16" s="2">
        <v>36</v>
      </c>
      <c r="R16" s="3">
        <f t="shared" si="0"/>
        <v>74.07692307692308</v>
      </c>
      <c r="S16" s="3" cm="1">
        <f t="array" ref="S16">AVERAGE(SMALL(D16:P16, _xlfn.SEQUENCE(9)))</f>
        <v>53.333333333333336</v>
      </c>
      <c r="T16">
        <f t="shared" si="1"/>
        <v>87</v>
      </c>
    </row>
    <row r="17" spans="2:20" x14ac:dyDescent="0.2">
      <c r="B17">
        <v>7</v>
      </c>
      <c r="C17" s="4" t="s">
        <v>13</v>
      </c>
      <c r="D17" s="2">
        <v>105</v>
      </c>
      <c r="E17" s="2">
        <v>103</v>
      </c>
      <c r="F17" s="2">
        <v>86</v>
      </c>
      <c r="G17" s="2">
        <v>82</v>
      </c>
      <c r="H17" s="2">
        <v>81</v>
      </c>
      <c r="I17" s="2">
        <v>90</v>
      </c>
      <c r="J17" s="5">
        <v>77</v>
      </c>
      <c r="K17" s="2">
        <v>161</v>
      </c>
      <c r="L17" s="2">
        <v>39</v>
      </c>
      <c r="M17" s="2">
        <v>27</v>
      </c>
      <c r="N17" s="2">
        <v>45</v>
      </c>
      <c r="O17" s="2">
        <v>36</v>
      </c>
      <c r="P17" s="2">
        <v>0</v>
      </c>
      <c r="R17" s="3">
        <f t="shared" si="0"/>
        <v>71.692307692307693</v>
      </c>
      <c r="S17" s="3" cm="1">
        <f t="array" ref="S17">AVERAGE(SMALL(D17:P17, _xlfn.SEQUENCE(9)))</f>
        <v>52.555555555555557</v>
      </c>
      <c r="T17">
        <f t="shared" si="1"/>
        <v>86</v>
      </c>
    </row>
    <row r="22" spans="2:20" x14ac:dyDescent="0.2">
      <c r="C22" t="s">
        <v>14</v>
      </c>
    </row>
    <row r="23" spans="2:20" x14ac:dyDescent="0.2">
      <c r="B23">
        <v>0</v>
      </c>
      <c r="C23" t="s">
        <v>12</v>
      </c>
    </row>
    <row r="24" spans="2:20" x14ac:dyDescent="0.2">
      <c r="B24">
        <v>1</v>
      </c>
      <c r="C24" t="s">
        <v>6</v>
      </c>
    </row>
    <row r="25" spans="2:20" x14ac:dyDescent="0.2">
      <c r="B25">
        <v>2</v>
      </c>
      <c r="C25" t="s">
        <v>2</v>
      </c>
    </row>
    <row r="26" spans="2:20" x14ac:dyDescent="0.2">
      <c r="B26">
        <v>3</v>
      </c>
      <c r="C26" t="s">
        <v>15</v>
      </c>
    </row>
    <row r="27" spans="2:20" x14ac:dyDescent="0.2">
      <c r="B27">
        <v>4</v>
      </c>
      <c r="C27" t="s">
        <v>4</v>
      </c>
    </row>
    <row r="28" spans="2:20" x14ac:dyDescent="0.2">
      <c r="B28">
        <v>5</v>
      </c>
      <c r="C28" t="s">
        <v>9</v>
      </c>
    </row>
    <row r="29" spans="2:20" x14ac:dyDescent="0.2">
      <c r="B29">
        <v>6</v>
      </c>
      <c r="C29" t="s">
        <v>11</v>
      </c>
    </row>
    <row r="30" spans="2:20" x14ac:dyDescent="0.2">
      <c r="B30">
        <v>7</v>
      </c>
      <c r="C30" t="s">
        <v>13</v>
      </c>
      <c r="D30">
        <v>2</v>
      </c>
    </row>
    <row r="31" spans="2:20" x14ac:dyDescent="0.2">
      <c r="B31">
        <v>8</v>
      </c>
      <c r="C31" t="s">
        <v>7</v>
      </c>
    </row>
    <row r="32" spans="2:20" x14ac:dyDescent="0.2">
      <c r="B32">
        <v>9</v>
      </c>
      <c r="C32" t="s">
        <v>10</v>
      </c>
    </row>
    <row r="33" spans="2:19" x14ac:dyDescent="0.2">
      <c r="B33">
        <v>10</v>
      </c>
      <c r="C33" t="s">
        <v>8</v>
      </c>
      <c r="D33">
        <v>1</v>
      </c>
    </row>
    <row r="34" spans="2:19" x14ac:dyDescent="0.2">
      <c r="B34">
        <v>11</v>
      </c>
      <c r="C34" t="s">
        <v>16</v>
      </c>
    </row>
    <row r="35" spans="2:19" x14ac:dyDescent="0.2">
      <c r="B35">
        <v>12</v>
      </c>
      <c r="C35" t="s">
        <v>5</v>
      </c>
    </row>
    <row r="38" spans="2:19" x14ac:dyDescent="0.2">
      <c r="C38" s="1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2:19" x14ac:dyDescent="0.2">
      <c r="B39">
        <v>0</v>
      </c>
      <c r="C39" s="1" t="s">
        <v>12</v>
      </c>
      <c r="D39" s="8">
        <v>74.07692307692308</v>
      </c>
      <c r="E39" s="8">
        <v>53.333333333333336</v>
      </c>
      <c r="F39" s="8">
        <v>87</v>
      </c>
      <c r="G39" s="7"/>
      <c r="H39" s="7"/>
      <c r="I39" s="7"/>
      <c r="J39" s="7"/>
      <c r="K39" s="7"/>
      <c r="L39" s="7"/>
      <c r="M39" s="7"/>
      <c r="N39" s="7"/>
      <c r="O39" s="7"/>
      <c r="P39" s="7"/>
      <c r="R39" s="3"/>
      <c r="S39" s="3"/>
    </row>
    <row r="40" spans="2:19" x14ac:dyDescent="0.2">
      <c r="B40">
        <v>1</v>
      </c>
      <c r="C40" s="1" t="s">
        <v>6</v>
      </c>
      <c r="D40" s="8">
        <v>61</v>
      </c>
      <c r="E40" s="8">
        <v>40.222222222222221</v>
      </c>
      <c r="F40" s="8">
        <v>88</v>
      </c>
      <c r="G40" s="7"/>
      <c r="H40" s="7"/>
      <c r="I40" s="7"/>
      <c r="J40" s="7"/>
      <c r="K40" s="7"/>
      <c r="L40" s="7"/>
      <c r="M40" s="7"/>
      <c r="N40" s="7"/>
      <c r="O40" s="7"/>
      <c r="P40" s="7"/>
      <c r="R40" s="3"/>
      <c r="S40" s="3"/>
    </row>
    <row r="41" spans="2:19" x14ac:dyDescent="0.2">
      <c r="B41">
        <v>2</v>
      </c>
      <c r="C41" s="1" t="s">
        <v>2</v>
      </c>
      <c r="D41" s="8">
        <v>54.307692307692307</v>
      </c>
      <c r="E41" s="8">
        <v>36.333333333333336</v>
      </c>
      <c r="F41" s="8">
        <v>70</v>
      </c>
      <c r="G41" s="7"/>
      <c r="H41" s="7"/>
      <c r="I41" s="7"/>
      <c r="J41" s="7"/>
      <c r="K41" s="7"/>
      <c r="L41" s="7"/>
      <c r="M41" s="7"/>
      <c r="N41" s="7"/>
      <c r="O41" s="7"/>
      <c r="P41" s="7"/>
      <c r="R41" s="3"/>
      <c r="S41" s="3"/>
    </row>
    <row r="42" spans="2:19" x14ac:dyDescent="0.2">
      <c r="B42">
        <v>3</v>
      </c>
      <c r="C42" s="1" t="s">
        <v>3</v>
      </c>
      <c r="D42" s="8">
        <v>59.230769230769234</v>
      </c>
      <c r="E42" s="8">
        <v>45</v>
      </c>
      <c r="F42" s="8">
        <v>69</v>
      </c>
      <c r="G42" s="7"/>
      <c r="H42" s="7"/>
      <c r="I42" s="7"/>
      <c r="J42" s="7"/>
      <c r="K42" s="7"/>
      <c r="L42" s="7"/>
      <c r="M42" s="7"/>
      <c r="N42" s="7"/>
      <c r="O42" s="7"/>
      <c r="P42" s="7"/>
      <c r="R42" s="3"/>
      <c r="S42" s="3"/>
    </row>
    <row r="43" spans="2:19" x14ac:dyDescent="0.2">
      <c r="B43">
        <v>4</v>
      </c>
      <c r="C43" s="1" t="s">
        <v>4</v>
      </c>
      <c r="D43" s="8">
        <v>62</v>
      </c>
      <c r="E43" s="8">
        <v>39.888888888888886</v>
      </c>
      <c r="F43" s="8">
        <v>82</v>
      </c>
      <c r="G43" s="7"/>
      <c r="H43" s="7"/>
      <c r="I43" s="7"/>
      <c r="J43" s="7"/>
      <c r="K43" s="7"/>
      <c r="L43" s="7"/>
      <c r="M43" s="7"/>
      <c r="N43" s="7"/>
      <c r="O43" s="7"/>
      <c r="P43" s="7"/>
      <c r="R43" s="3"/>
      <c r="S43" s="3"/>
    </row>
    <row r="44" spans="2:19" x14ac:dyDescent="0.2">
      <c r="B44">
        <v>5</v>
      </c>
      <c r="C44" s="1" t="s">
        <v>9</v>
      </c>
      <c r="D44" s="8">
        <v>66.230769230769226</v>
      </c>
      <c r="E44" s="8">
        <v>46.444444444444443</v>
      </c>
      <c r="F44" s="8">
        <v>73</v>
      </c>
      <c r="G44" s="7"/>
      <c r="H44" s="7"/>
      <c r="I44" s="7"/>
      <c r="J44" s="7"/>
      <c r="K44" s="7"/>
      <c r="L44" s="7"/>
      <c r="M44" s="7"/>
      <c r="N44" s="7"/>
      <c r="O44" s="7"/>
      <c r="P44" s="7"/>
      <c r="R44" s="3"/>
      <c r="S44" s="3"/>
    </row>
    <row r="45" spans="2:19" x14ac:dyDescent="0.2">
      <c r="B45">
        <v>6</v>
      </c>
      <c r="C45" s="1" t="s">
        <v>11</v>
      </c>
      <c r="D45" s="8">
        <v>87.384615384615387</v>
      </c>
      <c r="E45" s="8">
        <v>64.444444444444443</v>
      </c>
      <c r="F45" s="8">
        <v>98</v>
      </c>
      <c r="G45" s="7"/>
      <c r="H45" s="7"/>
      <c r="I45" s="7"/>
      <c r="J45" s="7"/>
      <c r="K45" s="7"/>
      <c r="L45" s="7"/>
      <c r="M45" s="7"/>
      <c r="N45" s="7"/>
      <c r="O45" s="7"/>
      <c r="P45" s="7"/>
      <c r="R45" s="3"/>
      <c r="S45" s="3"/>
    </row>
    <row r="46" spans="2:19" x14ac:dyDescent="0.2">
      <c r="B46">
        <v>7</v>
      </c>
      <c r="C46" s="4" t="s">
        <v>13</v>
      </c>
      <c r="D46" s="8">
        <v>71.692307692307693</v>
      </c>
      <c r="E46" s="8">
        <v>52.555555555555557</v>
      </c>
      <c r="F46" s="8">
        <v>86</v>
      </c>
      <c r="G46" s="7"/>
      <c r="H46" s="7"/>
      <c r="I46" s="7"/>
      <c r="J46" s="7"/>
      <c r="K46" s="7"/>
      <c r="L46" s="7"/>
      <c r="M46" s="7"/>
      <c r="N46" s="7"/>
      <c r="O46" s="7"/>
      <c r="P46" s="7"/>
      <c r="R46" s="3"/>
      <c r="S46" s="3"/>
    </row>
    <row r="47" spans="2:19" x14ac:dyDescent="0.2">
      <c r="B47">
        <v>8</v>
      </c>
      <c r="C47" s="1" t="s">
        <v>7</v>
      </c>
      <c r="D47" s="8">
        <v>65.769230769230774</v>
      </c>
      <c r="E47" s="8">
        <v>43.444444444444443</v>
      </c>
      <c r="F47" s="8">
        <v>77</v>
      </c>
      <c r="G47" s="7"/>
      <c r="H47" s="7"/>
      <c r="I47" s="7"/>
      <c r="J47" s="7"/>
      <c r="K47" s="7"/>
      <c r="L47" s="7"/>
      <c r="M47" s="7"/>
      <c r="N47" s="7"/>
      <c r="O47" s="7"/>
      <c r="P47" s="7"/>
      <c r="R47" s="3"/>
      <c r="S47" s="3"/>
    </row>
    <row r="48" spans="2:19" x14ac:dyDescent="0.2">
      <c r="B48">
        <v>9</v>
      </c>
      <c r="C48" s="1" t="s">
        <v>10</v>
      </c>
      <c r="D48" s="8">
        <v>73.84615384615384</v>
      </c>
      <c r="E48" s="8">
        <v>54.444444444444443</v>
      </c>
      <c r="F48" s="8">
        <v>93</v>
      </c>
      <c r="G48" s="7"/>
      <c r="H48" s="7"/>
      <c r="I48" s="7"/>
      <c r="J48" s="7"/>
      <c r="K48" s="7"/>
      <c r="L48" s="7"/>
      <c r="M48" s="7"/>
      <c r="N48" s="7"/>
      <c r="O48" s="7"/>
      <c r="P48" s="7"/>
      <c r="R48" s="3"/>
      <c r="S48" s="3"/>
    </row>
    <row r="49" spans="2:19" x14ac:dyDescent="0.2">
      <c r="B49">
        <v>10</v>
      </c>
      <c r="C49" s="4" t="s">
        <v>8</v>
      </c>
      <c r="D49" s="8">
        <v>101.38461538461539</v>
      </c>
      <c r="E49" s="8">
        <v>78.777777777777771</v>
      </c>
      <c r="F49" s="8">
        <v>128</v>
      </c>
      <c r="G49" s="7"/>
      <c r="H49" s="7"/>
      <c r="I49" s="7"/>
      <c r="J49" s="7"/>
      <c r="K49" s="7"/>
      <c r="L49" s="7"/>
      <c r="M49" s="7"/>
      <c r="N49" s="7"/>
      <c r="O49" s="7"/>
      <c r="P49" s="7"/>
      <c r="R49" s="3"/>
      <c r="S49" s="3"/>
    </row>
    <row r="50" spans="2:19" x14ac:dyDescent="0.2">
      <c r="B50">
        <v>11</v>
      </c>
      <c r="C50" s="1" t="s">
        <v>1</v>
      </c>
      <c r="D50" s="8">
        <v>54.230769230769234</v>
      </c>
      <c r="E50" s="8">
        <v>35.777777777777779</v>
      </c>
      <c r="F50" s="8">
        <v>73</v>
      </c>
      <c r="G50" s="7"/>
      <c r="H50" s="7"/>
      <c r="I50" s="7"/>
      <c r="J50" s="7"/>
      <c r="K50" s="7"/>
      <c r="L50" s="7"/>
      <c r="M50" s="7"/>
      <c r="N50" s="7"/>
      <c r="O50" s="7"/>
      <c r="P50" s="7"/>
      <c r="R50" s="3"/>
      <c r="S50" s="3"/>
    </row>
    <row r="51" spans="2:19" x14ac:dyDescent="0.2">
      <c r="B51">
        <v>12</v>
      </c>
      <c r="C51" s="1" t="s">
        <v>5</v>
      </c>
      <c r="D51" s="8">
        <v>56.153846153846153</v>
      </c>
      <c r="E51" s="8">
        <v>42.222222222222221</v>
      </c>
      <c r="F51" s="8">
        <v>68</v>
      </c>
      <c r="G51" s="7"/>
      <c r="H51" s="7"/>
      <c r="I51" s="7"/>
      <c r="J51" s="7"/>
      <c r="K51" s="7"/>
      <c r="L51" s="7"/>
      <c r="M51" s="7"/>
      <c r="N51" s="7"/>
      <c r="O51" s="7"/>
      <c r="P51" s="7"/>
      <c r="R51" s="3"/>
      <c r="S51" s="3"/>
    </row>
  </sheetData>
  <sortState xmlns:xlrd2="http://schemas.microsoft.com/office/spreadsheetml/2017/richdata2" ref="B39:F51">
    <sortCondition ref="B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2026-06-25T19:14:31Z</dcterms:created>
  <dcterms:modified xsi:type="dcterms:W3CDTF">2026-06-30T12:23:59Z</dcterms:modified>
</cp:coreProperties>
</file>